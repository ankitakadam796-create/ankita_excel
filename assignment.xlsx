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bff1f7f1b08cbf8/Documents/excel/"/>
    </mc:Choice>
  </mc:AlternateContent>
  <xr:revisionPtr revIDLastSave="162" documentId="8_{E75FDEE2-A9BC-4607-B29D-548DAECD569B}" xr6:coauthVersionLast="47" xr6:coauthVersionMax="47" xr10:uidLastSave="{54A851A3-F0D1-4FE1-B993-72EE56459A5C}"/>
  <bookViews>
    <workbookView minimized="1" xWindow="5145" yWindow="3180" windowWidth="14400" windowHeight="7245" activeTab="4" xr2:uid="{9F994133-C4EA-4F01-BDD7-02308CD495AA}"/>
  </bookViews>
  <sheets>
    <sheet name="pivot" sheetId="8" r:id="rId1"/>
    <sheet name="Sales_Data" sheetId="1" r:id="rId2"/>
    <sheet name="mcq" sheetId="7" r:id="rId3"/>
    <sheet name="Sales_Reps" sheetId="2" r:id="rId4"/>
    <sheet name="Regional_Target" sheetId="3" r:id="rId5"/>
  </sheets>
  <definedNames>
    <definedName name="RepTable">Sales_Reps!$A$1:$E$3</definedName>
    <definedName name="Slicer_Category">#N/A</definedName>
    <definedName name="Slicer_Region">#N/A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c r="I6" i="1" a="1"/>
  <c r="I6" i="1" s="1"/>
  <c r="O2" i="1" s="1" a="1"/>
  <c r="O2" i="1" s="1"/>
  <c r="P10" i="2"/>
  <c r="B4" i="3"/>
  <c r="N2" i="1" a="1"/>
  <c r="N2" i="1"/>
  <c r="N3" i="1" a="1"/>
  <c r="N3" i="1"/>
  <c r="N4" i="1" a="1"/>
  <c r="N4" i="1" s="1"/>
  <c r="J5" i="8"/>
  <c r="C16" i="7"/>
  <c r="C19"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<sst xmlns="http://schemas.openxmlformats.org/spreadsheetml/2006/main" count="133" uniqueCount="116">
  <si>
    <t>East </t>
  </si>
  <si>
    <t>West </t>
  </si>
  <si>
    <t>Order_id</t>
  </si>
  <si>
    <t>Order_Date</t>
  </si>
  <si>
    <t>Region</t>
  </si>
  <si>
    <t>Segment</t>
  </si>
  <si>
    <t>Category</t>
  </si>
  <si>
    <t>Sub_Caterogy</t>
  </si>
  <si>
    <t>Sales</t>
  </si>
  <si>
    <t>Quantity</t>
  </si>
  <si>
    <t>Discount</t>
  </si>
  <si>
    <t>Profit</t>
  </si>
  <si>
    <t>Rep_Id</t>
  </si>
  <si>
    <t>Performance_Tier</t>
  </si>
  <si>
    <t>ORD-1001</t>
  </si>
  <si>
    <t>ORD-1002</t>
  </si>
  <si>
    <t>ORD-1003</t>
  </si>
  <si>
    <t>East</t>
  </si>
  <si>
    <t>West</t>
  </si>
  <si>
    <t>Center</t>
  </si>
  <si>
    <t>Consumer</t>
  </si>
  <si>
    <t>Corporate</t>
  </si>
  <si>
    <t>Home Office</t>
  </si>
  <si>
    <t>Technology</t>
  </si>
  <si>
    <t>Furniture</t>
  </si>
  <si>
    <t>Phones</t>
  </si>
  <si>
    <t>Chair</t>
  </si>
  <si>
    <t>Copiers</t>
  </si>
  <si>
    <t>REP 102</t>
  </si>
  <si>
    <t>REP 105</t>
  </si>
  <si>
    <t>REP 101</t>
  </si>
  <si>
    <t>[Task 10]</t>
  </si>
  <si>
    <t>Rep_ID </t>
  </si>
  <si>
    <t>Rep_Name </t>
  </si>
  <si>
    <t>Department </t>
  </si>
  <si>
    <t>Region </t>
  </si>
  <si>
    <t>REP-101 </t>
  </si>
  <si>
    <t>Sarah Jenkins </t>
  </si>
  <si>
    <t>Enterprise </t>
  </si>
  <si>
    <t>Central </t>
  </si>
  <si>
    <t>REP-102 </t>
  </si>
  <si>
    <t>Alex Rivera </t>
  </si>
  <si>
    <t>Consumer </t>
  </si>
  <si>
    <t>Commission_Rate</t>
  </si>
  <si>
    <t>Q1 </t>
  </si>
  <si>
    <t>Q2 </t>
  </si>
  <si>
    <t>Q3 </t>
  </si>
  <si>
    <t>Q4</t>
  </si>
  <si>
    <t>150000 </t>
  </si>
  <si>
    <t>175000 </t>
  </si>
  <si>
    <t>160000 </t>
  </si>
  <si>
    <t>200000 </t>
  </si>
  <si>
    <t>210000 </t>
  </si>
  <si>
    <t>220000 </t>
  </si>
  <si>
    <t>Question 1)  [ ] A) =SUMIFS($E$2:$E$100, $A$2:$A$100, C$1, $D$2:$D$100, $A4)</t>
  </si>
  <si>
    <t xml:space="preserve">Question 2)  [ ] B) VLOOKUP returns the data from the new Column C (incorrect column index 3); XLOOKUP uses direct range references like XLOOKUP("P-101", A2:A100, D2:D100) which dynamically adjust. </t>
  </si>
  <si>
    <t>Question 3)   [ ] B) =INDEX(B2:M10, MATCH("East", A2:A10, 0), MATCH("June", B1:M1, 0))</t>
  </si>
  <si>
    <t>Question 4)   [ ] C) =SUMIFS(C2:C100, A2:A100, "&gt;=" &amp; E1)</t>
  </si>
  <si>
    <t xml:space="preserve">Question 5)    [ ] B) =SUMIFS(C2:C100, A2:A100, &gt;= &amp; E1) </t>
  </si>
  <si>
    <t>Question 7)     [ ] B) Calculated Fields always operate on the SUM of individual underlying data rows, preventing formulas like =AVERAGE(Price * Quantity) from calculating row-by-row before summing.</t>
  </si>
  <si>
    <t>Question 8)      [ ] B) Cells that directly provide input data or values used in the formula of cell G10.</t>
  </si>
  <si>
    <t xml:space="preserve">Question 9)       [ ] B) Excel creates an outlined structure containing formulas that dynamically reference the source ranges. </t>
  </si>
  <si>
    <t xml:space="preserve">Question 10)     [ ] B) The name can be referenced in formulas across any worksheet in the entire workbook without specifying the sheet name prefix. </t>
  </si>
  <si>
    <t>Question 6)    [ ] B) =$D$2 &lt; 0</t>
  </si>
  <si>
    <t>MCQ</t>
  </si>
  <si>
    <t>Hands-On Task</t>
  </si>
  <si>
    <t>Task 1: Name Manager &amp; Dymnamic XLOOKUP Integration</t>
  </si>
  <si>
    <t>Names Range Definition:-- A Named Range is a meaningful name given to a specific group of cells so that you can easily use that range in formula</t>
  </si>
  <si>
    <t>Cell M2 Formula:--</t>
  </si>
  <si>
    <t>Task 2: 2D Matrix lookup with INDEX &amp; Two-Way MATCH</t>
  </si>
  <si>
    <t>Cell B4 Formula :--</t>
  </si>
  <si>
    <t>Task 3: Multi-Criteria aggregation with SUMIFS &amp; COUNTIFS</t>
  </si>
  <si>
    <t>Cell N2 Formula:--</t>
  </si>
  <si>
    <t>Cell N3 Formula:--</t>
  </si>
  <si>
    <t>Task 4: Advanced Data Validation</t>
  </si>
  <si>
    <t>Column A Validation Formula:--</t>
  </si>
  <si>
    <t>Column I  Validation Formula:--</t>
  </si>
  <si>
    <t>ORD-1004</t>
  </si>
  <si>
    <t>ORD-1005</t>
  </si>
  <si>
    <t>Allow: Decimal | Data: Between| Minimum:0.00| Maximum:0.30</t>
  </si>
  <si>
    <t>Task 5: Rule- Based Row Highlighting via Conditional Formatting</t>
  </si>
  <si>
    <t>Rule 1 (Green Row Formula):--</t>
  </si>
  <si>
    <t>Rule 2 (Red Row Formula):--</t>
  </si>
  <si>
    <t>[=AND(J:J&gt;=200,I:I=0)]</t>
  </si>
  <si>
    <t>[=J:J&lt;0]</t>
  </si>
  <si>
    <t>[=COUNTIF($A$2:$A$1001,A2)=1]</t>
  </si>
  <si>
    <t>Task 6: Pivot Table, Calculated Field,and Cross_Slicer Integration</t>
  </si>
  <si>
    <t>Calculated Field Name &amp; Formula:--</t>
  </si>
  <si>
    <t>Row Labels</t>
  </si>
  <si>
    <t>Grand Total</t>
  </si>
  <si>
    <t>Column Labels</t>
  </si>
  <si>
    <t>Sum of Sales</t>
  </si>
  <si>
    <t>Total Sum of Sales</t>
  </si>
  <si>
    <t>Total Sum of Profit</t>
  </si>
  <si>
    <t>Sum of Profit</t>
  </si>
  <si>
    <t>profit margin pct</t>
  </si>
  <si>
    <t>profit margin pct | =GETPIVOTDATA("Sum of Profit",$A$3)/GETPIVOTDATA("Sum of Sales",$A$3)</t>
  </si>
  <si>
    <t>Slicers Added:-- region and catergory</t>
  </si>
  <si>
    <t>Task 7:Multi Sheet Data Consolidation</t>
  </si>
  <si>
    <t>Kyey Data Consolidation Options to check:-- 1) Select the consolidation summary sheet range according to other sheet range 2) click on data tab the click on consolidation tab</t>
  </si>
  <si>
    <t>3) select the function 4) the add the reference from other 4 sheets 5) click the top row and left coloumn source data has sale and also click on create links to source data 6) then click on ok button</t>
  </si>
  <si>
    <t>Task 8: In-Cell Sparklines &amp; Combo Charts</t>
  </si>
  <si>
    <t>sparkline</t>
  </si>
  <si>
    <t>Sparkline range &amp; Marker settings:-- Data Range:f2:l4|Location Range:k2:k4|line Sparkline|high point &amp; low point</t>
  </si>
  <si>
    <t>Combo Chart series Configuration:-- Q1-Q4: clusterd column</t>
  </si>
  <si>
    <t>Task 9:Formula Auditing_ Precedents &amp; Error Tracing</t>
  </si>
  <si>
    <t>Auditing Steps &amp; Solutions:--Select cell P10.</t>
  </si>
  <si>
    <t>Go to Formulas → Formula Auditing → Trace Precedents.</t>
  </si>
  <si>
    <t>Follow the arrows to identify the cell containing the incorrect value/text.</t>
  </si>
  <si>
    <t>If "N/A" or other text is present in an addition range, replace it with 0 or remove/correct the text.</t>
  </si>
  <si>
    <t>If appropriate, use a formula such as:</t>
  </si>
  <si>
    <t>[=SUM(range)]</t>
  </si>
  <si>
    <t>because SUM ignores text values like "N/A".</t>
  </si>
  <si>
    <t>Use Formulas → Error Checking to confirm the #VALUE! error is fixed</t>
  </si>
  <si>
    <t>Task 10:Tiered Performance Assignment via nested logic</t>
  </si>
  <si>
    <t>cell l2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</si>
</sst>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2B6CB0"/>
      <name val="Arial"/>
      <family val="2"/>
    </font>
    <font>
      <sz val="11"/>
      <color rgb="FF000000"/>
      <name val="Arial"/>
      <family val="2"/>
    </font>
    <font>
      <sz val="8"/>
      <name val="Aptos Narrow"/>
      <family val="2"/>
      <scheme val="minor"/>
    </font>
    <font>
      <sz val="10"/>
      <color theme="1"/>
      <name val="Arial"/>
      <family val="2"/>
    </font>
    <font>
      <b/>
      <sz val="16"/>
      <color theme="1"/>
      <name val="Aptos Narrow"/>
      <family val="2"/>
      <scheme val="minor"/>
    </font>
    <font>
      <b/>
      <sz val="18"/>
      <color theme="1"/>
      <name val="Aptos Narrow"/>
      <family val="2"/>
      <scheme val="minor"/>
    </font>
  </fonts>
  <fills count="2">
    <fill>
      <patternFill patternType="none"/>
    </fill>
    <fill>
      <patternFill patternType="gray125"/>
    </fill>
  </fills>
  <borders count="3">
    <border>
      <left/>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2" xfId="0" applyFont="1" applyBorder="1" applyAlignment="1">
      <alignment vertical="center" wrapText="1"/>
    </xf>
    <xf numFmtId="0" fontId="4" fillId="0" borderId="2" xfId="0" applyFont="1" applyBorder="1" applyAlignment="1">
      <alignment vertical="center" wrapText="1"/>
    </xf>
    <xf numFmtId="14" fontId="0" fillId="0" borderId="2" xfId="0" applyNumberFormat="1" applyBorder="1"/>
    <xf numFmtId="0" fontId="0" fillId="0" borderId="2" xfId="0" applyBorder="1"/>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0" xfId="0" applyFont="1"/>
    <xf numFmtId="0" fontId="6"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Sales_Data!$F$2</c:f>
              <c:strCache>
                <c:ptCount val="1"/>
                <c:pt idx="0">
                  <c:v>Phones</c:v>
                </c:pt>
              </c:strCache>
            </c:strRef>
          </c:tx>
          <c:spPr>
            <a:solidFill>
              <a:schemeClr val="accent1"/>
            </a:solidFill>
            <a:ln>
              <a:noFill/>
            </a:ln>
            <a:effectLst/>
          </c:spPr>
          <c:invertIfNegative val="0"/>
          <c:cat>
            <c:strRef>
              <c:f>Sales_Data!$G$1:$J$1</c:f>
              <c:strCache>
                <c:ptCount val="4"/>
                <c:pt idx="0">
                  <c:v>Sales</c:v>
                </c:pt>
                <c:pt idx="1">
                  <c:v>Quantity</c:v>
                </c:pt>
                <c:pt idx="2">
                  <c:v>Discount</c:v>
                </c:pt>
                <c:pt idx="3">
                  <c:v>Profit</c:v>
                </c:pt>
              </c:strCache>
            </c:strRef>
          </c:cat>
          <c:val>
            <c:numRef>
              <c:f>Sales_Data!$G$2:$J$2</c:f>
              <c:numCache>
                <c:formatCode>General</c:formatCode>
                <c:ptCount val="4"/>
                <c:pt idx="0">
                  <c:v>1200</c:v>
                </c:pt>
                <c:pt idx="1">
                  <c:v>3</c:v>
                </c:pt>
                <c:pt idx="2">
                  <c:v>0.1</c:v>
                </c:pt>
                <c:pt idx="3">
                  <c:v>240</c:v>
                </c:pt>
              </c:numCache>
            </c:numRef>
          </c:val>
          <c:extLst>
            <c:ext xmlns:c16="http://schemas.microsoft.com/office/drawing/2014/chart" uri="{C3380CC4-5D6E-409C-BE32-E72D297353CC}">
              <c16:uniqueId val="{00000000-66ED-4734-8057-035D3D67CFD0}"/>
            </c:ext>
          </c:extLst>
        </c:ser>
        <c:ser>
          <c:idx val="1"/>
          <c:order val="1"/>
          <c:tx>
            <c:strRef>
              <c:f>Sales_Data!$F$3</c:f>
              <c:strCache>
                <c:ptCount val="1"/>
                <c:pt idx="0">
                  <c:v>Chair</c:v>
                </c:pt>
              </c:strCache>
            </c:strRef>
          </c:tx>
          <c:spPr>
            <a:solidFill>
              <a:schemeClr val="accent2"/>
            </a:solidFill>
            <a:ln>
              <a:noFill/>
            </a:ln>
            <a:effectLst/>
          </c:spPr>
          <c:invertIfNegative val="0"/>
          <c:cat>
            <c:strRef>
              <c:f>Sales_Data!$G$1:$J$1</c:f>
              <c:strCache>
                <c:ptCount val="4"/>
                <c:pt idx="0">
                  <c:v>Sales</c:v>
                </c:pt>
                <c:pt idx="1">
                  <c:v>Quantity</c:v>
                </c:pt>
                <c:pt idx="2">
                  <c:v>Discount</c:v>
                </c:pt>
                <c:pt idx="3">
                  <c:v>Profit</c:v>
                </c:pt>
              </c:strCache>
            </c:strRef>
          </c:cat>
          <c:val>
            <c:numRef>
              <c:f>Sales_Data!$G$3:$J$3</c:f>
              <c:numCache>
                <c:formatCode>General</c:formatCode>
                <c:ptCount val="4"/>
                <c:pt idx="0">
                  <c:v>850</c:v>
                </c:pt>
                <c:pt idx="1">
                  <c:v>2</c:v>
                </c:pt>
                <c:pt idx="2">
                  <c:v>0</c:v>
                </c:pt>
                <c:pt idx="3">
                  <c:v>170</c:v>
                </c:pt>
              </c:numCache>
            </c:numRef>
          </c:val>
          <c:extLst>
            <c:ext xmlns:c16="http://schemas.microsoft.com/office/drawing/2014/chart" uri="{C3380CC4-5D6E-409C-BE32-E72D297353CC}">
              <c16:uniqueId val="{00000001-66ED-4734-8057-035D3D67CFD0}"/>
            </c:ext>
          </c:extLst>
        </c:ser>
        <c:ser>
          <c:idx val="2"/>
          <c:order val="2"/>
          <c:tx>
            <c:strRef>
              <c:f>Sales_Data!$F$4</c:f>
              <c:strCache>
                <c:ptCount val="1"/>
                <c:pt idx="0">
                  <c:v>Copiers</c:v>
                </c:pt>
              </c:strCache>
            </c:strRef>
          </c:tx>
          <c:spPr>
            <a:solidFill>
              <a:schemeClr val="accent3"/>
            </a:solidFill>
            <a:ln>
              <a:noFill/>
            </a:ln>
            <a:effectLst/>
          </c:spPr>
          <c:invertIfNegative val="0"/>
          <c:cat>
            <c:strRef>
              <c:f>Sales_Data!$G$1:$J$1</c:f>
              <c:strCache>
                <c:ptCount val="4"/>
                <c:pt idx="0">
                  <c:v>Sales</c:v>
                </c:pt>
                <c:pt idx="1">
                  <c:v>Quantity</c:v>
                </c:pt>
                <c:pt idx="2">
                  <c:v>Discount</c:v>
                </c:pt>
                <c:pt idx="3">
                  <c:v>Profit</c:v>
                </c:pt>
              </c:strCache>
            </c:strRef>
          </c:cat>
          <c:val>
            <c:numRef>
              <c:f>Sales_Data!$G$4:$J$4</c:f>
              <c:numCache>
                <c:formatCode>General</c:formatCode>
                <c:ptCount val="4"/>
                <c:pt idx="0">
                  <c:v>2400</c:v>
                </c:pt>
                <c:pt idx="1">
                  <c:v>4</c:v>
                </c:pt>
                <c:pt idx="2">
                  <c:v>0.15</c:v>
                </c:pt>
                <c:pt idx="3">
                  <c:v>-120</c:v>
                </c:pt>
              </c:numCache>
            </c:numRef>
          </c:val>
          <c:extLst>
            <c:ext xmlns:c16="http://schemas.microsoft.com/office/drawing/2014/chart" uri="{C3380CC4-5D6E-409C-BE32-E72D297353CC}">
              <c16:uniqueId val="{00000002-66ED-4734-8057-035D3D67CFD0}"/>
            </c:ext>
          </c:extLst>
        </c:ser>
        <c:dLbls>
          <c:showLegendKey val="0"/>
          <c:showVal val="0"/>
          <c:showCatName val="0"/>
          <c:showSerName val="0"/>
          <c:showPercent val="0"/>
          <c:showBubbleSize val="0"/>
        </c:dLbls>
        <c:gapWidth val="219"/>
        <c:overlap val="-27"/>
        <c:axId val="1225437392"/>
        <c:axId val="748146512"/>
      </c:barChart>
      <c:catAx>
        <c:axId val="12254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46512"/>
        <c:crosses val="autoZero"/>
        <c:auto val="1"/>
        <c:lblAlgn val="ctr"/>
        <c:lblOffset val="100"/>
        <c:noMultiLvlLbl val="0"/>
      </c:catAx>
      <c:valAx>
        <c:axId val="74814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43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Regional_Target!$E$1</c:f>
              <c:strCache>
                <c:ptCount val="1"/>
                <c:pt idx="0">
                  <c:v>Q4</c:v>
                </c:pt>
              </c:strCache>
            </c:strRef>
          </c:tx>
          <c:spPr>
            <a:solidFill>
              <a:schemeClr val="accent1"/>
            </a:solidFill>
            <a:ln>
              <a:noFill/>
            </a:ln>
            <a:effectLst/>
          </c:spPr>
          <c:invertIfNegative val="0"/>
          <c:cat>
            <c:multiLvlStrRef>
              <c:f>Regional_Target!$B$2:$D$3</c:f>
              <c:multiLvlStrCache>
                <c:ptCount val="2"/>
                <c:lvl>
                  <c:pt idx="0">
                    <c:v>160000 </c:v>
                  </c:pt>
                  <c:pt idx="1">
                    <c:v>220000 </c:v>
                  </c:pt>
                </c:lvl>
                <c:lvl>
                  <c:pt idx="0">
                    <c:v>175000 </c:v>
                  </c:pt>
                  <c:pt idx="1">
                    <c:v>210000 </c:v>
                  </c:pt>
                </c:lvl>
                <c:lvl>
                  <c:pt idx="0">
                    <c:v>150000 </c:v>
                  </c:pt>
                  <c:pt idx="1">
                    <c:v>200000 </c:v>
                  </c:pt>
                </c:lvl>
              </c:multiLvlStrCache>
            </c:multiLvlStrRef>
          </c:cat>
          <c:val>
            <c:numRef>
              <c:f>Regional_Target!$E$2:$E$3</c:f>
              <c:numCache>
                <c:formatCode>General</c:formatCode>
                <c:ptCount val="2"/>
                <c:pt idx="0">
                  <c:v>210000</c:v>
                </c:pt>
                <c:pt idx="1">
                  <c:v>260000</c:v>
                </c:pt>
              </c:numCache>
            </c:numRef>
          </c:val>
          <c:extLst>
            <c:ext xmlns:c16="http://schemas.microsoft.com/office/drawing/2014/chart" uri="{C3380CC4-5D6E-409C-BE32-E72D297353CC}">
              <c16:uniqueId val="{00000000-9412-43A3-B433-AA92ADD7CFE2}"/>
            </c:ext>
          </c:extLst>
        </c:ser>
        <c:dLbls>
          <c:showLegendKey val="0"/>
          <c:showVal val="0"/>
          <c:showCatName val="0"/>
          <c:showSerName val="0"/>
          <c:showPercent val="0"/>
          <c:showBubbleSize val="0"/>
        </c:dLbls>
        <c:gapWidth val="219"/>
        <c:overlap val="-27"/>
        <c:axId val="1225334384"/>
        <c:axId val="748134512"/>
      </c:barChart>
      <c:catAx>
        <c:axId val="1225334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134512"/>
        <c:crosses val="autoZero"/>
        <c:auto val="1"/>
        <c:lblAlgn val="ctr"/>
        <c:lblOffset val="100"/>
        <c:noMultiLvlLbl val="0"/>
      </c:catAx>
      <c:valAx>
        <c:axId val="748134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334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2</xdr:col>
      <xdr:colOff>476250</xdr:colOff>
      <xdr:row>11</xdr:row>
      <xdr:rowOff>85725</xdr:rowOff>
    </xdr:from>
    <xdr:to>
      <xdr:col>4</xdr:col>
      <xdr:colOff>619125</xdr:colOff>
      <xdr:row>25</xdr:row>
      <xdr:rowOff>85725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9BE197FC-83BA-10B6-96BC-C0F8FAAEF5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95550" y="21812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685800</xdr:colOff>
      <xdr:row>12</xdr:row>
      <xdr:rowOff>104775</xdr:rowOff>
    </xdr:from>
    <xdr:to>
      <xdr:col>6</xdr:col>
      <xdr:colOff>828675</xdr:colOff>
      <xdr:row>26</xdr:row>
      <xdr:rowOff>104775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1AD727DB-BC66-B4F4-1F9D-0FE8CAA865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91025" y="2390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533400</xdr:colOff>
      <xdr:row>4</xdr:row>
      <xdr:rowOff>147637</xdr:rowOff>
    </xdr:from>
    <xdr:to>
      <xdr:col>10</xdr:col>
      <xdr:colOff>628650</xdr:colOff>
      <xdr:row>19</xdr:row>
      <xdr:rowOff>33337</xdr:rowOff>
    </xdr:to>
    <xdr:graphicFrame macro="">
      <xdr:nvGraphicFramePr>
        <xdr:cNvPr id="2" name="Chart 1">
          <a:extLst>
            <a:ext uri="{FF2B5EF4-FFF2-40B4-BE49-F238E27FC236}">
              <a16:creationId xmlns:a16="http://schemas.microsoft.com/office/drawing/2014/main" id="{22A1EAF6-EC52-9EDE-70BB-BF2CBCE07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552450</xdr:colOff>
      <xdr:row>4</xdr:row>
      <xdr:rowOff>119062</xdr:rowOff>
    </xdr:from>
    <xdr:to>
      <xdr:col>13</xdr:col>
      <xdr:colOff>247650</xdr:colOff>
      <xdr:row>19</xdr:row>
      <xdr:rowOff>4762</xdr:rowOff>
    </xdr:to>
    <xdr:graphicFrame macro="">
      <xdr:nvGraphicFramePr>
        <xdr:cNvPr id="2" name="Chart 1">
          <a:extLst>
            <a:ext uri="{FF2B5EF4-FFF2-40B4-BE49-F238E27FC236}">
              <a16:creationId xmlns:a16="http://schemas.microsoft.com/office/drawing/2014/main" id="{E6DE2172-F311-8D10-0108-9B25ED3CDD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isha gore" refreshedDate="46263.811278009256" createdVersion="8" refreshedVersion="8" minRefreshableVersion="3" recordCount="3" xr:uid="{ABEAEF35-669D-4D90-8C63-717BF6839675}">
  <cacheSource type="worksheet">
    <worksheetSource ref="A1:M4" sheet="Sales_Data"/>
  </cacheSource>
  <cacheFields count="12">
    <cacheField name="Order_id" numFmtId="0">
      <sharedItems/>
    </cacheField>
    <cacheField name="Order_Date" numFmtId="14">
      <sharedItems containsSemiMixedTypes="0" containsNonDate="0" containsDate="1" containsString="0" minDate="2025-01-15T00:00:00" maxDate="2025-01-23T00:00:00"/>
    </cacheField>
    <cacheField name="Region" numFmtId="0">
      <sharedItems count="3">
        <s v="East"/>
        <s v="West"/>
        <s v="Center"/>
      </sharedItems>
    </cacheField>
    <cacheField name="Segment" numFmtId="0">
      <sharedItems/>
    </cacheField>
    <cacheField name="Category" numFmtId="0">
      <sharedItems count="2">
        <s v="Technology"/>
        <s v="Furniture"/>
      </sharedItems>
    </cacheField>
    <cacheField name="Sub_Caterogy" numFmtId="0">
      <sharedItems count="3">
        <s v="Phones"/>
        <s v="Chair"/>
        <s v="Copiers"/>
      </sharedItems>
    </cacheField>
    <cacheField name="Sales" numFmtId="0">
      <sharedItems containsSemiMixedTypes="0" containsString="0" containsNumber="1" containsInteger="1" minValue="850" maxValue="2400"/>
    </cacheField>
    <cacheField name="Quantity" numFmtId="0">
      <sharedItems containsSemiMixedTypes="0" containsString="0" containsNumber="1" containsInteger="1" minValue="2" maxValue="4"/>
    </cacheField>
    <cacheField name="Discount" numFmtId="0">
      <sharedItems containsSemiMixedTypes="0" containsString="0" containsNumber="1" minValue="0" maxValue="0.15"/>
    </cacheField>
    <cacheField name="Profit" numFmtId="0">
      <sharedItems containsSemiMixedTypes="0" containsString="0" containsNumber="1" containsInteger="1" minValue="-120" maxValue="240"/>
    </cacheField>
    <cacheField name="Rep_Id" numFmtId="0">
      <sharedItems/>
    </cacheField>
    <cacheField name="Performance_Tier" numFmtId="0">
      <sharedItems/>
    </cacheField>
  </cacheFields>
  <extLst>
    <ext xmlns:x14="http://schemas.microsoft.com/office/spreadsheetml/2009/9/main" uri="{725AE2AE-9491-48be-B2B4-4EB974FC3084}">
      <x14:pivotCacheDefinition pivotCacheId="3175414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ORD-1001"/>
    <d v="2025-01-15T00:00:00"/>
    <x v="0"/>
    <s v="Consumer"/>
    <x v="0"/>
    <x v="0"/>
    <n v="1200"/>
    <n v="3"/>
    <n v="0.1"/>
    <n v="240"/>
    <s v="REP 102"/>
    <s v="[Task 10]"/>
  </r>
  <r>
    <s v="ORD-1002"/>
    <d v="2025-01-18T00:00:00"/>
    <x v="1"/>
    <s v="Corporate"/>
    <x v="1"/>
    <x v="1"/>
    <n v="850"/>
    <n v="2"/>
    <n v="0"/>
    <n v="170"/>
    <s v="REP 105"/>
    <s v="[Task 10]"/>
  </r>
  <r>
    <s v="ORD-1003"/>
    <d v="2025-01-22T00:00:00"/>
    <x v="2"/>
    <s v="Home Office"/>
    <x v="0"/>
    <x v="2"/>
    <n v="2400"/>
    <n v="4"/>
    <n v="0.15"/>
    <n v="-120"/>
    <s v="REP 101"/>
    <s v="[Task 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2FD54F-A446-4261-8C11-45010FF309C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1" firstHeaderRow="1" firstDataRow="3" firstDataCol="1"/>
  <pivotFields count="12">
    <pivotField showAll="0"/>
    <pivotField numFmtId="14" showAll="0"/>
    <pivotField axis="axisCol" showAll="0">
      <items count="4">
        <item x="2"/>
        <item x="0"/>
        <item x="1"/>
        <item t="default"/>
      </items>
    </pivotField>
    <pivotField showAll="0"/>
    <pivotField axis="axisRow" showAll="0">
      <items count="3">
        <item x="1"/>
        <item x="0"/>
        <item t="default"/>
      </items>
    </pivotField>
    <pivotField axis="axisRow" showAll="0">
      <items count="4">
        <item x="1"/>
        <item x="2"/>
        <item x="0"/>
        <item t="default"/>
      </items>
    </pivotField>
    <pivotField dataField="1" showAll="0"/>
    <pivotField showAll="0"/>
    <pivotField showAll="0"/>
    <pivotField dataField="1" showAll="0"/>
    <pivotField showAll="0"/>
    <pivotField showAll="0"/>
  </pivotFields>
  <rowFields count="2">
    <field x="4"/>
    <field x="5"/>
  </rowFields>
  <rowItems count="6">
    <i>
      <x/>
    </i>
    <i r="1">
      <x/>
    </i>
    <i>
      <x v="1"/>
    </i>
    <i r="1">
      <x v="1"/>
    </i>
    <i r="1">
      <x v="2"/>
    </i>
    <i t="grand">
      <x/>
    </i>
  </rowItems>
  <colFields count="2">
    <field x="2"/>
    <field x="-2"/>
  </colFields>
  <colItems count="8">
    <i>
      <x/>
      <x/>
    </i>
    <i r="1" i="1">
      <x v="1"/>
    </i>
    <i>
      <x v="1"/>
      <x/>
    </i>
    <i r="1" i="1">
      <x v="1"/>
    </i>
    <i>
      <x v="2"/>
      <x/>
    </i>
    <i r="1" i="1">
      <x v="1"/>
    </i>
    <i t="grand">
      <x/>
    </i>
    <i t="grand" i="1">
      <x/>
    </i>
  </colItems>
  <dataFields count="2">
    <dataField name="Sum of Sales" fld="6" baseField="0" baseItem="0"/>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23A0DB-26BF-4CF0-B356-78E3CC258B00}" sourceName="Region">
  <pivotTables>
    <pivotTable tabId="8" name="PivotTable1"/>
  </pivotTables>
  <data>
    <tabular pivotCacheId="31754148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7311F8-7204-4C7B-B54F-5774CA13FAFF}" sourceName="Category">
  <pivotTables>
    <pivotTable tabId="8" name="PivotTable1"/>
  </pivotTables>
  <data>
    <tabular pivotCacheId="31754148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DC48583-C7D8-4CB8-833A-CCB618D93ABD}" cache="Slicer_Region" caption="Region" rowHeight="257175"/>
  <slicer name="Category" xr10:uid="{7F0CF701-A4DD-409E-A845-065787B942D8}"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E65A-AF47-49F9-BF37-3CFB81A871D4}">
  <dimension ref="A3:J11"/>
  <sheetViews>
    <sheetView workbookViewId="0">
      <selection activeCell="J6" sqref="J6"/>
    </sheetView>
  </sheetViews>
  <sheetFormatPr defaultRowHeight="15" x14ac:dyDescent="0.25"/>
  <cols>
    <col min="1" max="1" width="13.42578125" bestFit="1" customWidth="1"/>
    <col min="2" max="2" width="16.85546875" bestFit="1" customWidth="1"/>
    <col min="3" max="3" width="12.7109375" bestFit="1" customWidth="1"/>
    <col min="4" max="4" width="12.5703125" bestFit="1" customWidth="1"/>
    <col min="5" max="5" width="12.7109375" bestFit="1" customWidth="1"/>
    <col min="6" max="6" width="12.5703125" bestFit="1" customWidth="1"/>
    <col min="7" max="7" width="12.7109375" bestFit="1" customWidth="1"/>
    <col min="8" max="8" width="17.7109375" bestFit="1" customWidth="1"/>
    <col min="9" max="9" width="17.85546875" bestFit="1" customWidth="1"/>
  </cols>
  <sheetData>
    <row r="3" spans="1:10" x14ac:dyDescent="0.25">
      <c r="B3" s="9" t="s">
        <v>90</v>
      </c>
    </row>
    <row r="4" spans="1:10" x14ac:dyDescent="0.25">
      <c r="B4" t="s">
        <v>19</v>
      </c>
      <c r="D4" t="s">
        <v>17</v>
      </c>
      <c r="F4" t="s">
        <v>18</v>
      </c>
      <c r="H4" t="s">
        <v>92</v>
      </c>
      <c r="I4" t="s">
        <v>93</v>
      </c>
      <c r="J4" t="s">
        <v>95</v>
      </c>
    </row>
    <row r="5" spans="1:10" x14ac:dyDescent="0.25">
      <c r="A5" s="9" t="s">
        <v>88</v>
      </c>
      <c r="B5" t="s">
        <v>91</v>
      </c>
      <c r="C5" t="s">
        <v>94</v>
      </c>
      <c r="D5" t="s">
        <v>91</v>
      </c>
      <c r="E5" t="s">
        <v>94</v>
      </c>
      <c r="F5" t="s">
        <v>91</v>
      </c>
      <c r="G5" t="s">
        <v>94</v>
      </c>
      <c r="J5">
        <f>GETPIVOTDATA("Sum of Profit",$A$3)/GETPIVOTDATA("Sum of Sales",$A$3)</f>
        <v>6.5168539325842698E-2</v>
      </c>
    </row>
    <row r="6" spans="1:10" x14ac:dyDescent="0.25">
      <c r="A6" s="10" t="s">
        <v>24</v>
      </c>
      <c r="F6">
        <v>850</v>
      </c>
      <c r="G6">
        <v>170</v>
      </c>
      <c r="H6">
        <v>850</v>
      </c>
      <c r="I6">
        <v>170</v>
      </c>
    </row>
    <row r="7" spans="1:10" x14ac:dyDescent="0.25">
      <c r="A7" s="11" t="s">
        <v>26</v>
      </c>
      <c r="F7">
        <v>850</v>
      </c>
      <c r="G7">
        <v>170</v>
      </c>
      <c r="H7">
        <v>850</v>
      </c>
      <c r="I7">
        <v>170</v>
      </c>
    </row>
    <row r="8" spans="1:10" x14ac:dyDescent="0.25">
      <c r="A8" s="10" t="s">
        <v>23</v>
      </c>
      <c r="B8">
        <v>2400</v>
      </c>
      <c r="C8">
        <v>-120</v>
      </c>
      <c r="D8">
        <v>1200</v>
      </c>
      <c r="E8">
        <v>240</v>
      </c>
      <c r="H8">
        <v>3600</v>
      </c>
      <c r="I8">
        <v>120</v>
      </c>
    </row>
    <row r="9" spans="1:10" x14ac:dyDescent="0.25">
      <c r="A9" s="11" t="s">
        <v>27</v>
      </c>
      <c r="B9">
        <v>2400</v>
      </c>
      <c r="C9">
        <v>-120</v>
      </c>
      <c r="H9">
        <v>2400</v>
      </c>
      <c r="I9">
        <v>-120</v>
      </c>
    </row>
    <row r="10" spans="1:10" x14ac:dyDescent="0.25">
      <c r="A10" s="11" t="s">
        <v>25</v>
      </c>
      <c r="D10">
        <v>1200</v>
      </c>
      <c r="E10">
        <v>240</v>
      </c>
      <c r="H10">
        <v>1200</v>
      </c>
      <c r="I10">
        <v>240</v>
      </c>
    </row>
    <row r="11" spans="1:10" x14ac:dyDescent="0.25">
      <c r="A11" s="10" t="s">
        <v>89</v>
      </c>
      <c r="B11">
        <v>2400</v>
      </c>
      <c r="C11">
        <v>-120</v>
      </c>
      <c r="D11">
        <v>1200</v>
      </c>
      <c r="E11">
        <v>240</v>
      </c>
      <c r="F11">
        <v>850</v>
      </c>
      <c r="G11">
        <v>170</v>
      </c>
      <c r="H11">
        <v>4450</v>
      </c>
      <c r="I11">
        <v>290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51FA4-C89D-41C1-BF3B-12B1A2F59CD6}">
  <dimension ref="A1:O6"/>
  <sheetViews>
    <sheetView topLeftCell="I1" zoomScale="82" workbookViewId="0">
      <selection activeCell="O7" sqref="O7"/>
    </sheetView>
  </sheetViews>
  <sheetFormatPr defaultRowHeight="15" x14ac:dyDescent="0.25"/>
  <cols>
    <col min="1" max="1" width="12.5703125" customWidth="1"/>
    <col min="2" max="2" width="13.85546875" customWidth="1"/>
    <col min="3" max="3" width="7.5703125" bestFit="1" customWidth="1"/>
    <col min="4" max="4" width="11.7109375" bestFit="1" customWidth="1"/>
    <col min="5" max="5" width="11" bestFit="1" customWidth="1"/>
    <col min="6" max="6" width="17.140625" customWidth="1"/>
    <col min="7" max="7" width="6.28515625" bestFit="1" customWidth="1"/>
    <col min="8" max="8" width="8.7109375" bestFit="1" customWidth="1"/>
    <col min="9" max="9" width="12.5703125" customWidth="1"/>
    <col min="10" max="11" width="11.42578125" customWidth="1"/>
    <col min="12" max="12" width="7.7109375" bestFit="1" customWidth="1"/>
    <col min="13" max="13" width="21.140625" customWidth="1"/>
    <col min="14" max="14" width="15" customWidth="1"/>
    <col min="15" max="15" width="47.85546875" bestFit="1" customWidth="1"/>
  </cols>
  <sheetData>
    <row r="1" spans="1:15" x14ac:dyDescent="0.25">
      <c r="A1" s="1" t="s">
        <v>2</v>
      </c>
      <c r="B1" s="1" t="s">
        <v>3</v>
      </c>
      <c r="C1" s="1" t="s">
        <v>4</v>
      </c>
      <c r="D1" s="1" t="s">
        <v>5</v>
      </c>
      <c r="E1" s="1" t="s">
        <v>6</v>
      </c>
      <c r="F1" s="1" t="s">
        <v>7</v>
      </c>
      <c r="G1" s="1" t="s">
        <v>8</v>
      </c>
      <c r="H1" s="1" t="s">
        <v>9</v>
      </c>
      <c r="I1" s="1" t="s">
        <v>10</v>
      </c>
      <c r="J1" s="1" t="s">
        <v>11</v>
      </c>
      <c r="K1" s="1" t="s">
        <v>102</v>
      </c>
      <c r="L1" s="1" t="s">
        <v>12</v>
      </c>
      <c r="M1" s="1" t="s">
        <v>13</v>
      </c>
    </row>
    <row r="2" spans="1:15" x14ac:dyDescent="0.25">
      <c r="A2" s="2" t="s">
        <v>14</v>
      </c>
      <c r="B2" s="3">
        <v>45672</v>
      </c>
      <c r="C2" s="4" t="s">
        <v>17</v>
      </c>
      <c r="D2" s="4" t="s">
        <v>20</v>
      </c>
      <c r="E2" s="4" t="s">
        <v>23</v>
      </c>
      <c r="F2" s="4" t="s">
        <v>25</v>
      </c>
      <c r="G2" s="4">
        <v>1200</v>
      </c>
      <c r="H2" s="4">
        <v>3</v>
      </c>
      <c r="I2" s="4">
        <v>0.1</v>
      </c>
      <c r="J2" s="4">
        <v>240</v>
      </c>
      <c r="K2" s="4"/>
      <c r="L2" s="4" t="s">
        <v>28</v>
      </c>
      <c r="M2" s="4" t="s">
        <v>31</v>
      </c>
      <c r="N2" t="str" cm="1">
        <f t="array" ref="N2">_xlfn.XLOOKUP(L2,INDEX(RepTable,1,0),INDEX(RepTable,2,0),"unassigned Rep")</f>
        <v>unassigned Rep</v>
      </c>
      <c r="O2" t="e" cm="1">
        <f t="array" aca="1" ref="O2" ca="1">SUMIFS(A1:M4,E2:E4,"Technology",C2:C4,"East",I:I,AND(I:I&lt;0.12),B:B,AND(B:B&gt;=DATE(2025,1,1)))</f>
        <v>#VALUE!</v>
      </c>
    </row>
    <row r="3" spans="1:15" x14ac:dyDescent="0.25">
      <c r="A3" s="4" t="s">
        <v>15</v>
      </c>
      <c r="B3" s="3">
        <v>45675</v>
      </c>
      <c r="C3" s="4" t="s">
        <v>18</v>
      </c>
      <c r="D3" s="4" t="s">
        <v>21</v>
      </c>
      <c r="E3" s="4" t="s">
        <v>24</v>
      </c>
      <c r="F3" s="4" t="s">
        <v>26</v>
      </c>
      <c r="G3" s="4">
        <v>850</v>
      </c>
      <c r="H3" s="4">
        <v>2</v>
      </c>
      <c r="I3" s="4">
        <v>0</v>
      </c>
      <c r="J3" s="4">
        <v>170</v>
      </c>
      <c r="K3" s="4"/>
      <c r="L3" s="4" t="s">
        <v>29</v>
      </c>
      <c r="M3" s="4" t="s">
        <v>31</v>
      </c>
      <c r="N3" t="str" cm="1">
        <f t="array" ref="N3">_xlfn.XLOOKUP(L3,INDEX(RepTable,1,0),INDEX(RepTable,2,0),"unassigned Rep")</f>
        <v>unassigned Rep</v>
      </c>
    </row>
    <row r="4" spans="1:15" x14ac:dyDescent="0.25">
      <c r="A4" s="2" t="s">
        <v>16</v>
      </c>
      <c r="B4" s="3">
        <v>45679</v>
      </c>
      <c r="C4" s="4" t="s">
        <v>19</v>
      </c>
      <c r="D4" s="4" t="s">
        <v>22</v>
      </c>
      <c r="E4" s="4" t="s">
        <v>23</v>
      </c>
      <c r="F4" s="4" t="s">
        <v>27</v>
      </c>
      <c r="G4" s="4">
        <v>2400</v>
      </c>
      <c r="H4" s="4">
        <v>4</v>
      </c>
      <c r="I4" s="4">
        <v>0.15</v>
      </c>
      <c r="J4" s="4">
        <v>-120</v>
      </c>
      <c r="K4" s="4"/>
      <c r="L4" s="4" t="s">
        <v>30</v>
      </c>
      <c r="M4" s="4" t="s">
        <v>31</v>
      </c>
      <c r="N4" t="str" cm="1">
        <f t="array" ref="N4">_xlfn.XLOOKUP(L4,INDEX(RepTable,1,0),INDEX(RepTable,2,0),"unassigned Rep")</f>
        <v>unassigned Rep</v>
      </c>
    </row>
    <row r="5" spans="1:15" x14ac:dyDescent="0.25">
      <c r="A5" s="2" t="s">
        <v>77</v>
      </c>
    </row>
    <row r="6" spans="1:15" x14ac:dyDescent="0.25">
      <c r="A6" s="2" t="s">
        <v>78</v>
      </c>
      <c r="I6" t="e" cm="1" vm="1">
        <f t="array" aca="1" ref="I6" ca="1">mcq!D:D=J:J&lt;0</f>
        <v>#VALUE!</v>
      </c>
      <c r="M6" t="str">
        <f>IF(AND(J2&gt;=500,G2&gt;=2000),"Tier 1 - Platinum",IF(AND(J2&gt;=200,G2&gt;=1000),"Tier 2 - Gold",IF(J2&gt;=0,"Tier 3 - Silver","Tier 4 - Action Required")))</f>
        <v>Tier 2 - Gold</v>
      </c>
    </row>
  </sheetData>
  <phoneticPr fontId="3" type="noConversion"/>
  <conditionalFormatting sqref="A1:A1048576">
    <cfRule type="cellIs" dxfId="10" priority="7" operator="greaterThan">
      <formula>AND($J2&gt;=200,$I2=0)</formula>
    </cfRule>
  </conditionalFormatting>
  <conditionalFormatting sqref="A2:A4">
    <cfRule type="cellIs" dxfId="9" priority="8" operator="greaterThan">
      <formula>200</formula>
    </cfRule>
  </conditionalFormatting>
  <conditionalFormatting sqref="F2:J4">
    <cfRule type="top10" dxfId="8" priority="1" bottom="1" rank="1"/>
    <cfRule type="top10" dxfId="7" priority="2" bottom="1" rank="1"/>
    <cfRule type="top10" dxfId="6" priority="3" rank="1"/>
  </conditionalFormatting>
  <conditionalFormatting sqref="J1:K1048576">
    <cfRule type="cellIs" dxfId="5" priority="4" operator="lessThan">
      <formula>0</formula>
    </cfRule>
  </conditionalFormatting>
  <dataValidations count="2">
    <dataValidation type="custom" allowBlank="1" showInputMessage="1" showErrorMessage="1" sqref="A2:A1001" xr:uid="{8E6B2112-DF8F-4B5E-A895-BC0AB00C6C24}">
      <formula1>COUNTIF($A$2:$A$1001,A2)=1</formula1>
    </dataValidation>
    <dataValidation type="decimal" allowBlank="1" showInputMessage="1" showErrorMessage="1" sqref="I3:I1001 I2" xr:uid="{9162D6A5-13E6-42C8-87E0-68E1D2A18EC6}">
      <formula1>0</formula1>
      <formula2>0.3</formula2>
    </dataValidation>
  </dataValidations>
  <pageMargins left="0.7" right="0.7" top="0.75" bottom="0.75" header="0.3" footer="0.3"/>
  <drawing r:id="rId1"/>
  <extLst>
    <ext xmlns:x14="http://schemas.microsoft.com/office/spreadsheetml/2009/9/main" uri="{05C60535-1F16-4fd2-B633-F4F36F0B64E0}">
      <x14:sparklineGroups xmlns:xm="http://schemas.microsoft.com/office/excel/2006/main">
        <x14:sparklineGroup displayEmptyCellsAs="gap" xr2:uid="{54A5C6A0-40E3-4E92-9ABC-116DD7AB43C9}">
          <x14:colorSeries rgb="FF376092"/>
          <x14:colorNegative rgb="FFD00000"/>
          <x14:colorAxis rgb="FF000000"/>
          <x14:colorMarkers rgb="FFD00000"/>
          <x14:colorFirst rgb="FFD00000"/>
          <x14:colorLast rgb="FFD00000"/>
          <x14:colorHigh rgb="FFD00000"/>
          <x14:colorLow rgb="FFD00000"/>
          <x14:sparklines>
            <x14:sparkline>
              <xm:f>Sales_Data!F2:J2</xm:f>
              <xm:sqref>K2</xm:sqref>
            </x14:sparkline>
            <x14:sparkline>
              <xm:f>Sales_Data!F3:J3</xm:f>
              <xm:sqref>K3</xm:sqref>
            </x14:sparkline>
            <x14:sparkline>
              <xm:f>Sales_Data!F4:J4</xm:f>
              <xm:sqref>K4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FDA01-9B86-43D7-A727-85D90463A7AB}">
  <dimension ref="A1:E56"/>
  <sheetViews>
    <sheetView topLeftCell="A2" workbookViewId="0">
      <selection activeCell="F12" sqref="F12"/>
    </sheetView>
  </sheetViews>
  <sheetFormatPr defaultRowHeight="15" x14ac:dyDescent="0.25"/>
  <sheetData>
    <row r="1" spans="1:3" ht="21" x14ac:dyDescent="0.35">
      <c r="A1" s="7" t="s">
        <v>64</v>
      </c>
    </row>
    <row r="2" spans="1:3" x14ac:dyDescent="0.25">
      <c r="A2" t="s">
        <v>54</v>
      </c>
    </row>
    <row r="3" spans="1:3" x14ac:dyDescent="0.25">
      <c r="A3" t="s">
        <v>55</v>
      </c>
    </row>
    <row r="4" spans="1:3" x14ac:dyDescent="0.25">
      <c r="A4" t="s">
        <v>56</v>
      </c>
    </row>
    <row r="5" spans="1:3" x14ac:dyDescent="0.25">
      <c r="A5" t="s">
        <v>57</v>
      </c>
    </row>
    <row r="6" spans="1:3" x14ac:dyDescent="0.25">
      <c r="A6" t="s">
        <v>58</v>
      </c>
    </row>
    <row r="7" spans="1:3" x14ac:dyDescent="0.25">
      <c r="A7" t="s">
        <v>63</v>
      </c>
    </row>
    <row r="8" spans="1:3" x14ac:dyDescent="0.25">
      <c r="A8" t="s">
        <v>59</v>
      </c>
    </row>
    <row r="9" spans="1:3" x14ac:dyDescent="0.25">
      <c r="A9" t="s">
        <v>60</v>
      </c>
    </row>
    <row r="10" spans="1:3" x14ac:dyDescent="0.25">
      <c r="A10" t="s">
        <v>61</v>
      </c>
    </row>
    <row r="11" spans="1:3" x14ac:dyDescent="0.25">
      <c r="A11" t="s">
        <v>62</v>
      </c>
    </row>
    <row r="13" spans="1:3" ht="24" x14ac:dyDescent="0.4">
      <c r="A13" s="8" t="s">
        <v>65</v>
      </c>
    </row>
    <row r="14" spans="1:3" x14ac:dyDescent="0.25">
      <c r="A14" t="s">
        <v>66</v>
      </c>
    </row>
    <row r="15" spans="1:3" x14ac:dyDescent="0.25">
      <c r="A15" t="s">
        <v>67</v>
      </c>
    </row>
    <row r="16" spans="1:3" x14ac:dyDescent="0.25">
      <c r="A16" t="s">
        <v>68</v>
      </c>
      <c r="C16" t="str">
        <f ca="1">_xlfn.FORMULATEXT(Sales_Data!N2)</f>
        <v>=XLOOKUP(L2,INDEX(RepTable,1,0),INDEX(RepTable,2,0),"unassigned Rep")</v>
      </c>
    </row>
    <row r="18" spans="1:5" x14ac:dyDescent="0.25">
      <c r="A18" t="s">
        <v>69</v>
      </c>
    </row>
    <row r="19" spans="1:5" x14ac:dyDescent="0.25">
      <c r="A19" t="s">
        <v>70</v>
      </c>
      <c r="C19" t="str">
        <f ca="1">_xlfn.FORMULATEXT(Regional_Target!B4)</f>
        <v>=INDEX(A1:E3,2,MATCH(A2,A:A,0))</v>
      </c>
    </row>
    <row r="21" spans="1:5" x14ac:dyDescent="0.25">
      <c r="A21" t="s">
        <v>71</v>
      </c>
    </row>
    <row r="22" spans="1:5" x14ac:dyDescent="0.25">
      <c r="A22" t="s">
        <v>72</v>
      </c>
    </row>
    <row r="23" spans="1:5" x14ac:dyDescent="0.25">
      <c r="A23" t="s">
        <v>73</v>
      </c>
    </row>
    <row r="25" spans="1:5" x14ac:dyDescent="0.25">
      <c r="A25" t="s">
        <v>74</v>
      </c>
    </row>
    <row r="26" spans="1:5" x14ac:dyDescent="0.25">
      <c r="B26" t="s">
        <v>75</v>
      </c>
      <c r="E26" t="s">
        <v>85</v>
      </c>
    </row>
    <row r="27" spans="1:5" x14ac:dyDescent="0.25">
      <c r="B27" t="s">
        <v>76</v>
      </c>
      <c r="E27" t="s">
        <v>79</v>
      </c>
    </row>
    <row r="29" spans="1:5" x14ac:dyDescent="0.25">
      <c r="A29" t="s">
        <v>80</v>
      </c>
    </row>
    <row r="30" spans="1:5" x14ac:dyDescent="0.25">
      <c r="A30" t="s">
        <v>81</v>
      </c>
      <c r="D30" t="s">
        <v>83</v>
      </c>
    </row>
    <row r="31" spans="1:5" x14ac:dyDescent="0.25">
      <c r="A31" t="s">
        <v>82</v>
      </c>
      <c r="D31" t="s">
        <v>84</v>
      </c>
    </row>
    <row r="33" spans="1:5" x14ac:dyDescent="0.25">
      <c r="A33" t="s">
        <v>86</v>
      </c>
    </row>
    <row r="34" spans="1:5" x14ac:dyDescent="0.25">
      <c r="A34" t="s">
        <v>87</v>
      </c>
      <c r="E34" t="s">
        <v>96</v>
      </c>
    </row>
    <row r="35" spans="1:5" x14ac:dyDescent="0.25">
      <c r="A35" t="s">
        <v>97</v>
      </c>
    </row>
    <row r="37" spans="1:5" x14ac:dyDescent="0.25">
      <c r="A37" t="s">
        <v>98</v>
      </c>
    </row>
    <row r="38" spans="1:5" x14ac:dyDescent="0.25">
      <c r="A38" t="s">
        <v>99</v>
      </c>
    </row>
    <row r="39" spans="1:5" x14ac:dyDescent="0.25">
      <c r="E39" t="s">
        <v>100</v>
      </c>
    </row>
    <row r="41" spans="1:5" x14ac:dyDescent="0.25">
      <c r="A41" t="s">
        <v>101</v>
      </c>
    </row>
    <row r="42" spans="1:5" x14ac:dyDescent="0.25">
      <c r="A42" t="s">
        <v>103</v>
      </c>
    </row>
    <row r="43" spans="1:5" x14ac:dyDescent="0.25">
      <c r="A43" t="s">
        <v>104</v>
      </c>
    </row>
    <row r="45" spans="1:5" x14ac:dyDescent="0.25">
      <c r="A45" t="s">
        <v>105</v>
      </c>
    </row>
    <row r="46" spans="1:5" x14ac:dyDescent="0.25">
      <c r="A46" t="s">
        <v>106</v>
      </c>
    </row>
    <row r="47" spans="1:5" x14ac:dyDescent="0.25">
      <c r="D47" t="s">
        <v>107</v>
      </c>
    </row>
    <row r="48" spans="1:5" x14ac:dyDescent="0.25">
      <c r="D48" t="s">
        <v>108</v>
      </c>
    </row>
    <row r="49" spans="1:4" x14ac:dyDescent="0.25">
      <c r="D49" t="s">
        <v>109</v>
      </c>
    </row>
    <row r="50" spans="1:4" x14ac:dyDescent="0.25">
      <c r="D50" t="s">
        <v>110</v>
      </c>
    </row>
    <row r="51" spans="1:4" x14ac:dyDescent="0.25">
      <c r="D51" t="s">
        <v>111</v>
      </c>
    </row>
    <row r="52" spans="1:4" x14ac:dyDescent="0.25">
      <c r="D52" t="s">
        <v>112</v>
      </c>
    </row>
    <row r="53" spans="1:4" x14ac:dyDescent="0.25">
      <c r="D53" t="s">
        <v>113</v>
      </c>
    </row>
    <row r="55" spans="1:4" x14ac:dyDescent="0.25">
      <c r="A55" t="s">
        <v>114</v>
      </c>
    </row>
    <row r="56" spans="1:4" x14ac:dyDescent="0.25">
      <c r="A56" t="s">
        <v>115</v>
      </c>
    </row>
  </sheetData>
  <dataConsolid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17A5B-EA2E-4822-885E-C3400977ECDC}">
  <dimension ref="A1:P12"/>
  <sheetViews>
    <sheetView workbookViewId="0">
      <selection activeCell="K12" sqref="K12"/>
    </sheetView>
  </sheetViews>
  <sheetFormatPr defaultRowHeight="15" x14ac:dyDescent="0.25"/>
  <cols>
    <col min="1" max="1" width="12" customWidth="1"/>
    <col min="2" max="2" width="13" customWidth="1"/>
    <col min="3" max="3" width="14.140625" customWidth="1"/>
    <col min="4" max="4" width="9" bestFit="1" customWidth="1"/>
    <col min="5" max="5" width="21.7109375" customWidth="1"/>
  </cols>
  <sheetData>
    <row r="1" spans="1:16" ht="15.75" thickBot="1" x14ac:dyDescent="0.3">
      <c r="A1" s="5" t="s">
        <v>32</v>
      </c>
      <c r="B1" s="5" t="s">
        <v>33</v>
      </c>
      <c r="C1" s="5" t="s">
        <v>34</v>
      </c>
      <c r="D1" s="5" t="s">
        <v>35</v>
      </c>
      <c r="E1" s="5" t="s">
        <v>43</v>
      </c>
    </row>
    <row r="2" spans="1:16" ht="29.25" thickBot="1" x14ac:dyDescent="0.3">
      <c r="A2" s="6" t="s">
        <v>36</v>
      </c>
      <c r="B2" s="6" t="s">
        <v>37</v>
      </c>
      <c r="C2" s="6" t="s">
        <v>38</v>
      </c>
      <c r="D2" s="6" t="s">
        <v>39</v>
      </c>
      <c r="E2" s="6">
        <v>0.08</v>
      </c>
    </row>
    <row r="3" spans="1:16" ht="15.75" thickBot="1" x14ac:dyDescent="0.3">
      <c r="A3" s="6" t="s">
        <v>40</v>
      </c>
      <c r="B3" s="6" t="s">
        <v>41</v>
      </c>
      <c r="C3" s="6" t="s">
        <v>42</v>
      </c>
      <c r="D3" s="6" t="s">
        <v>0</v>
      </c>
      <c r="E3" s="6">
        <v>0.06</v>
      </c>
    </row>
    <row r="9" spans="1:16" x14ac:dyDescent="0.25">
      <c r="K9">
        <v>100</v>
      </c>
    </row>
    <row r="10" spans="1:16" x14ac:dyDescent="0.25">
      <c r="P10">
        <f>K9+K12</f>
        <v>150</v>
      </c>
    </row>
    <row r="12" spans="1:16" x14ac:dyDescent="0.25">
      <c r="K12">
        <v>50</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xr2:uid="{A50AB3FF-3D57-4A84-80DF-A89A12420F11}">
          <x14:colorSeries rgb="FF376092"/>
          <x14:colorNegative rgb="FFD00000"/>
          <x14:colorAxis rgb="FF000000"/>
          <x14:colorMarkers rgb="FFD00000"/>
          <x14:colorFirst rgb="FFD00000"/>
          <x14:colorLast rgb="FFD00000"/>
          <x14:colorHigh rgb="FFD00000"/>
          <x14:colorLow rgb="FFD00000"/>
          <x14:sparklines>
            <x14:sparkline>
              <xm:f>Regional_Target!B2:E2</xm:f>
              <xm:sqref>J2</xm:sqref>
            </x14:sparkline>
            <x14:sparkline>
              <xm:f>Regional_Target!B3:E3</xm:f>
              <xm:sqref>J3</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48F0F-D6A6-48ED-8548-AABBF48CD898}">
  <dimension ref="A1:E4"/>
  <sheetViews>
    <sheetView tabSelected="1" workbookViewId="0">
      <selection activeCell="B1" sqref="B1:E3"/>
    </sheetView>
  </sheetViews>
  <sheetFormatPr defaultRowHeight="15" x14ac:dyDescent="0.25"/>
  <cols>
    <col min="1" max="1" width="8.85546875" bestFit="1" customWidth="1"/>
  </cols>
  <sheetData>
    <row r="1" spans="1:5" ht="15.75" thickBot="1" x14ac:dyDescent="0.3">
      <c r="A1" s="5" t="s">
        <v>35</v>
      </c>
      <c r="B1" s="5" t="s">
        <v>44</v>
      </c>
      <c r="C1" s="5" t="s">
        <v>45</v>
      </c>
      <c r="D1" s="5" t="s">
        <v>46</v>
      </c>
      <c r="E1" s="5" t="s">
        <v>47</v>
      </c>
    </row>
    <row r="2" spans="1:5" ht="15.75" thickBot="1" x14ac:dyDescent="0.3">
      <c r="A2" s="6" t="s">
        <v>0</v>
      </c>
      <c r="B2" s="6" t="s">
        <v>48</v>
      </c>
      <c r="C2" s="6" t="s">
        <v>49</v>
      </c>
      <c r="D2" s="6" t="s">
        <v>50</v>
      </c>
      <c r="E2" s="6">
        <v>210000</v>
      </c>
    </row>
    <row r="3" spans="1:5" ht="15.75" thickBot="1" x14ac:dyDescent="0.3">
      <c r="A3" s="6" t="s">
        <v>1</v>
      </c>
      <c r="B3" s="6" t="s">
        <v>51</v>
      </c>
      <c r="C3" s="6" t="s">
        <v>52</v>
      </c>
      <c r="D3" s="6" t="s">
        <v>53</v>
      </c>
      <c r="E3" s="6">
        <v>260000</v>
      </c>
    </row>
    <row r="4" spans="1:5" x14ac:dyDescent="0.25">
      <c r="B4" t="str">
        <f>INDEX(A1:E3,2,MATCH(A2,A:A,0))</f>
        <v>150000 </v>
      </c>
    </row>
  </sheetData>
  <conditionalFormatting sqref="A2:XFD2">
    <cfRule type="top10" dxfId="4" priority="1" bottom="1" rank="1"/>
    <cfRule type="top10" dxfId="3" priority="2" rank="1"/>
  </conditionalFormatting>
  <conditionalFormatting sqref="B2:E2">
    <cfRule type="top10" dxfId="2" priority="3" bottom="1" rank="1"/>
    <cfRule type="top10" dxfId="1" priority="4" rank="1"/>
  </conditionalFormatting>
  <conditionalFormatting sqref="B2:E3">
    <cfRule type="top10" dxfId="0" priority="5" rank="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pivot</vt:lpstr>
      <vt:lpstr>Sales_Data</vt:lpstr>
      <vt:lpstr>mcq</vt:lpstr>
      <vt:lpstr>Sales_Reps</vt:lpstr>
      <vt:lpstr>Regional_Target</vt:lpstr>
      <vt:lpstr>RepTable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manisha gore</dc:creator>
  <cp:lastModifiedBy>manisha gore</cp:lastModifiedBy>
  <dcterms:created xsi:type="dcterms:W3CDTF">2026-08-28T10:58:43Z</dcterms:created>
  <dcterms:modified xsi:type="dcterms:W3CDTF">2026-09-02T04:51:04Z</dcterms:modified>
</cp:coreProperties>
</file>